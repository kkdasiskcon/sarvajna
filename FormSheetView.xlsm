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sdal\Documents\ContexturesSampleFiles\"/>
    </mc:Choice>
  </mc:AlternateContent>
  <xr:revisionPtr revIDLastSave="0" documentId="13_ncr:1_{6DECC56B-AF37-42F0-B80B-91A3442033E2}" xr6:coauthVersionLast="47" xr6:coauthVersionMax="47" xr10:uidLastSave="{00000000-0000-0000-0000-000000000000}"/>
  <bookViews>
    <workbookView xWindow="30795" yWindow="375" windowWidth="19425" windowHeight="11145" xr2:uid="{00000000-000D-0000-FFFF-FFFF00000000}"/>
  </bookViews>
  <sheets>
    <sheet name="Input" sheetId="2" r:id="rId1"/>
    <sheet name="PartsData" sheetId="1" r:id="rId2"/>
    <sheet name="LookupLists" sheetId="3" r:id="rId3"/>
    <sheet name="MyLinks" sheetId="12" r:id="rId4"/>
  </sheets>
  <definedNames>
    <definedName name="_xlnm._FilterDatabase" localSheetId="1" hidden="1">PartsData!$C$1:$F$1</definedName>
    <definedName name="CurrRec">Input!$H$7</definedName>
    <definedName name="LocationList">OFFSET(LookupLists!$D$2,0,0,COUNTA(LookupLists!$D:$D)-1,1)</definedName>
    <definedName name="PartList">OFFSET(LookupLists!$A$2,0,0,COUNTA(LookupLists!$A:$A)-1,1)</definedName>
    <definedName name="PartLU">OFFSET(PartList,,,,2)</definedName>
    <definedName name="PartsDatabase">OFFSET(PartsData!$A$1,0,0,COUNTA(PartsData!$A:$A),6)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7" i="2" l="1"/>
  <c r="D11" i="2"/>
  <c r="D13" i="2" s="1"/>
</calcChain>
</file>

<file path=xl/sharedStrings.xml><?xml version="1.0" encoding="utf-8"?>
<sst xmlns="http://schemas.openxmlformats.org/spreadsheetml/2006/main" count="59" uniqueCount="37">
  <si>
    <t>Location</t>
  </si>
  <si>
    <t>Qty</t>
  </si>
  <si>
    <t>PartDesc</t>
  </si>
  <si>
    <t>Screw caps</t>
  </si>
  <si>
    <t>Door</t>
  </si>
  <si>
    <t>Spring</t>
  </si>
  <si>
    <t>Lens</t>
  </si>
  <si>
    <t>Blank cap</t>
  </si>
  <si>
    <t>Eject knob</t>
  </si>
  <si>
    <t>Lock lever</t>
  </si>
  <si>
    <t>Insulator</t>
  </si>
  <si>
    <t>Warehouse</t>
  </si>
  <si>
    <t>Shop</t>
  </si>
  <si>
    <t>Store1</t>
  </si>
  <si>
    <t>Store2</t>
  </si>
  <si>
    <t>Part</t>
  </si>
  <si>
    <t>Parts Orders Data Entry</t>
  </si>
  <si>
    <t>Entered By</t>
  </si>
  <si>
    <t>Item</t>
  </si>
  <si>
    <t>Price</t>
  </si>
  <si>
    <t>Total</t>
  </si>
  <si>
    <t>Entered</t>
  </si>
  <si>
    <t>Debra Dalgleish</t>
  </si>
  <si>
    <t xml:space="preserve">of </t>
  </si>
  <si>
    <t>View Records</t>
  </si>
  <si>
    <t>Contextures Excel Tips Website</t>
  </si>
  <si>
    <t>Contextures Excel Blog</t>
  </si>
  <si>
    <t>Excel Pivot Tables Blog</t>
  </si>
  <si>
    <t>Contextures Recommends</t>
  </si>
  <si>
    <t>Contextures Sites &amp; News</t>
  </si>
  <si>
    <t>Contextures Excel Newsletter</t>
  </si>
  <si>
    <t>Hundreds of tutorials, tips and sample files</t>
  </si>
  <si>
    <t>Pivot table tutorials and tips, with comments and questions</t>
  </si>
  <si>
    <t>Get emails with Excel tips, links, and news</t>
  </si>
  <si>
    <t>Excel tutorials and tips, with comments and questions</t>
  </si>
  <si>
    <t>Excel Products</t>
  </si>
  <si>
    <t>Excel tools and training, recommended by Debra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</si>
</sst>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0.00"/>
    <numFmt numFmtId="165" formatCode="mm/dd/yyyy\ hh:mm:ss"/>
  </numFmts>
  <fonts count="13" x14ac:knownFonts="1">
    <font>
      <sz val="12"/>
      <name val="Arial Narrow"/>
    </font>
    <font>
      <sz val="12"/>
      <name val="Arial Narrow"/>
      <family val="2"/>
    </font>
    <font>
      <b/>
      <sz val="12"/>
      <name val="Arial Narrow"/>
      <family val="2"/>
    </font>
    <font>
      <sz val="8"/>
      <name val="Arial Narrow"/>
      <family val="2"/>
    </font>
    <font>
      <b/>
      <sz val="12"/>
      <color indexed="12"/>
      <name val="Arial Narrow"/>
      <family val="2"/>
    </font>
    <font>
      <sz val="8"/>
      <name val="Verdana"/>
      <family val="2"/>
    </font>
    <font>
      <sz val="12"/>
      <name val="Arial Narrow"/>
      <family val="2"/>
    </font>
    <font>
      <b/>
      <sz val="16"/>
      <color indexed="12"/>
      <name val="Arial Narrow"/>
      <family val="2"/>
    </font>
    <font>
      <u/>
      <sz val="11"/>
      <color indexed="12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Arial Narrow"/>
      <family val="2"/>
    </font>
    <font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>
      <alignment horizontal="left" indent="1"/>
    </xf>
    <xf numFmtId="44" fontId="1" fillId="0" borderId="0" applyFont="0" applyFill="0" applyBorder="0" applyAlignment="0" applyProtection="0"/>
    <xf numFmtId="0" fontId="12" fillId="0" borderId="0"/>
  </cellStyleXfs>
  <cellXfs count="38">
    <xf numFmtId="0" fontId="0" fillId="0" borderId="0" xfId="0"/>
    <xf numFmtId="0" fontId="2" fillId="0" borderId="0" xfId="0" applyFon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left" indent="1"/>
    </xf>
    <xf numFmtId="0" fontId="4" fillId="0" borderId="0" xfId="0" applyFont="1"/>
    <xf numFmtId="0" fontId="0" fillId="0" borderId="0" xfId="0" applyFill="1"/>
    <xf numFmtId="0" fontId="0" fillId="0" borderId="0" xfId="0" applyFill="1" applyAlignment="1">
      <alignment horizontal="left" indent="1"/>
    </xf>
    <xf numFmtId="0" fontId="0" fillId="0" borderId="0" xfId="0" applyFill="1" applyBorder="1" applyAlignment="1">
      <alignment horizontal="left" indent="1"/>
    </xf>
    <xf numFmtId="2" fontId="0" fillId="0" borderId="0" xfId="0" applyNumberFormat="1" applyFill="1" applyAlignment="1">
      <alignment horizontal="left" indent="1"/>
    </xf>
    <xf numFmtId="164" fontId="0" fillId="0" borderId="0" xfId="0" applyNumberFormat="1" applyFill="1" applyAlignment="1">
      <alignment horizontal="left" indent="1"/>
    </xf>
    <xf numFmtId="164" fontId="0" fillId="0" borderId="1" xfId="2" applyNumberFormat="1" applyFont="1" applyFill="1" applyBorder="1" applyAlignment="1" applyProtection="1">
      <alignment horizontal="left" indent="1"/>
    </xf>
    <xf numFmtId="0" fontId="0" fillId="2" borderId="1" xfId="0" applyFill="1" applyBorder="1" applyAlignment="1" applyProtection="1">
      <alignment horizontal="left" indent="1"/>
      <protection locked="0"/>
    </xf>
    <xf numFmtId="1" fontId="0" fillId="2" borderId="1" xfId="0" applyNumberFormat="1" applyFill="1" applyBorder="1" applyAlignment="1" applyProtection="1">
      <alignment horizontal="left" indent="1"/>
      <protection locked="0"/>
    </xf>
    <xf numFmtId="165" fontId="0" fillId="0" borderId="0" xfId="0" applyNumberFormat="1"/>
    <xf numFmtId="7" fontId="0" fillId="0" borderId="0" xfId="0" applyNumberFormat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 applyAlignment="1">
      <alignment horizontal="center"/>
    </xf>
    <xf numFmtId="0" fontId="0" fillId="0" borderId="0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0" xfId="0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0" borderId="5" xfId="0" applyFill="1" applyBorder="1" applyAlignment="1">
      <alignment horizontal="left"/>
    </xf>
    <xf numFmtId="0" fontId="0" fillId="0" borderId="4" xfId="0" applyFill="1" applyBorder="1"/>
    <xf numFmtId="0" fontId="0" fillId="3" borderId="4" xfId="0" applyFill="1" applyBorder="1" applyAlignment="1" applyProtection="1">
      <alignment horizontal="right"/>
      <protection locked="0"/>
    </xf>
    <xf numFmtId="0" fontId="2" fillId="0" borderId="0" xfId="0" applyFont="1" applyFill="1" applyAlignment="1">
      <alignment horizontal="right"/>
    </xf>
    <xf numFmtId="0" fontId="6" fillId="0" borderId="0" xfId="0" applyFont="1" applyFill="1" applyAlignment="1">
      <alignment horizontal="right"/>
    </xf>
    <xf numFmtId="0" fontId="2" fillId="0" borderId="0" xfId="0" applyFont="1" applyFill="1" applyBorder="1" applyAlignment="1">
      <alignment horizontal="right"/>
    </xf>
    <xf numFmtId="0" fontId="7" fillId="0" borderId="0" xfId="0" applyFont="1" applyFill="1"/>
    <xf numFmtId="0" fontId="8" fillId="0" borderId="0" xfId="1" applyAlignment="1"/>
    <xf numFmtId="0" fontId="8" fillId="0" borderId="0" xfId="1" applyAlignment="1" applyProtection="1"/>
    <xf numFmtId="0" fontId="9" fillId="0" borderId="0" xfId="3" applyFont="1" applyAlignment="1">
      <alignment horizontal="left"/>
    </xf>
    <xf numFmtId="0" fontId="12" fillId="0" borderId="0" xfId="3"/>
    <xf numFmtId="0" fontId="10" fillId="0" borderId="0" xfId="3" applyFont="1" applyAlignment="1">
      <alignment horizontal="left"/>
    </xf>
    <xf numFmtId="0" fontId="12" fillId="0" borderId="0" xfId="3" applyAlignment="1">
      <alignment horizontal="left"/>
    </xf>
  </cellXfs>
  <cellStyles count="4">
    <cellStyle name="Ctx_Hyperlink" xfId="1" xr:uid="{00000000-0005-0000-0000-000000000000}"/>
    <cellStyle name="Currency" xfId="2" builtinId="4"/>
    <cellStyle name="Normal" xfId="0" builtinId="0"/>
    <cellStyle name="Normal 2" xfId="3" xr:uid="{5FCC6117-78DA-49DD-A45E-E7C2C627B5CE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E1F7EA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</xdr:colOff>
      <xdr:row>13</xdr:row>
      <xdr:rowOff>38100</xdr:rowOff>
    </xdr:from>
    <xdr:to>
      <xdr:col>10</xdr:col>
      <xdr:colOff>177607</xdr:colOff>
      <xdr:row>20</xdr:row>
      <xdr:rowOff>197909</xdr:rowOff>
    </xdr:to>
    <xdr:sp macro="" textlink="">
      <xdr:nvSpPr>
        <xdr:cNvPr id="2073" name="Rectangle 25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SpPr>
          <a:spLocks noChangeArrowheads="1"/>
        </xdr:cNvSpPr>
      </xdr:nvSpPr>
      <xdr:spPr bwMode="auto">
        <a:xfrm>
          <a:off x="2362623" y="2133600"/>
          <a:ext cx="1614401" cy="1302809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 Narrow"/>
            </a:rPr>
            <a:t>Click the arrows to view the first, previous, next or last record in the database.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 Narrow"/>
            </a:rPr>
            <a:t>Or, type a valid record number in the yellow cell, and press the Enter key.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13</xdr:row>
          <xdr:rowOff>133350</xdr:rowOff>
        </xdr:from>
        <xdr:to>
          <xdr:col>3</xdr:col>
          <xdr:colOff>1314450</xdr:colOff>
          <xdr:row>14</xdr:row>
          <xdr:rowOff>180975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 Narrow"/>
                </a:rPr>
                <a:t>Add to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10</xdr:row>
          <xdr:rowOff>123825</xdr:rowOff>
        </xdr:from>
        <xdr:to>
          <xdr:col>9</xdr:col>
          <xdr:colOff>533400</xdr:colOff>
          <xdr:row>12</xdr:row>
          <xdr:rowOff>85725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 Narrow"/>
                </a:rPr>
                <a:t>Go To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8</xdr:row>
          <xdr:rowOff>9525</xdr:rowOff>
        </xdr:from>
        <xdr:to>
          <xdr:col>8</xdr:col>
          <xdr:colOff>57150</xdr:colOff>
          <xdr:row>9</xdr:row>
          <xdr:rowOff>19050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 Narrow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9525</xdr:rowOff>
        </xdr:from>
        <xdr:to>
          <xdr:col>9</xdr:col>
          <xdr:colOff>247650</xdr:colOff>
          <xdr:row>9</xdr:row>
          <xdr:rowOff>19050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 Narrow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8</xdr:row>
          <xdr:rowOff>9525</xdr:rowOff>
        </xdr:from>
        <xdr:to>
          <xdr:col>7</xdr:col>
          <xdr:colOff>381000</xdr:colOff>
          <xdr:row>9</xdr:row>
          <xdr:rowOff>19050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 Narrow"/>
                </a:rPr>
                <a:t>| 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8</xdr:row>
          <xdr:rowOff>9525</xdr:rowOff>
        </xdr:from>
        <xdr:to>
          <xdr:col>9</xdr:col>
          <xdr:colOff>552450</xdr:colOff>
          <xdr:row>9</xdr:row>
          <xdr:rowOff>19050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 Narrow"/>
                </a:rPr>
                <a:t>&gt; |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7620</xdr:colOff>
      <xdr:row>3</xdr:row>
      <xdr:rowOff>7620</xdr:rowOff>
    </xdr:to>
    <xdr:pic>
      <xdr:nvPicPr>
        <xdr:cNvPr id="1050" name="Picture 8" descr="c">
          <a:extLst>
            <a:ext uri="{FF2B5EF4-FFF2-40B4-BE49-F238E27FC236}">
              <a16:creationId xmlns:a16="http://schemas.microsoft.com/office/drawing/2014/main" id="{00000000-0008-0000-0100-00001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11040" y="9448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38100</xdr:colOff>
      <xdr:row>0</xdr:row>
      <xdr:rowOff>76200</xdr:rowOff>
    </xdr:from>
    <xdr:to>
      <xdr:col>0</xdr:col>
      <xdr:colOff>1371600</xdr:colOff>
      <xdr:row>0</xdr:row>
      <xdr:rowOff>314325</xdr:rowOff>
    </xdr:to>
    <xdr:sp macro="[0]!GoInput" textlink="">
      <xdr:nvSpPr>
        <xdr:cNvPr id="1033" name="Rectangle 9">
          <a:extLst>
            <a:ext uri="{FF2B5EF4-FFF2-40B4-BE49-F238E27FC236}">
              <a16:creationId xmlns:a16="http://schemas.microsoft.com/office/drawing/2014/main" id="{00000000-0008-0000-0100-00000904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295400" cy="238125"/>
        </a:xfrm>
        <a:prstGeom prst="rect">
          <a:avLst/>
        </a:prstGeom>
        <a:solidFill>
          <a:srgbClr val="E1F7EA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53882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3300"/>
              </a:solidFill>
              <a:latin typeface="Arial Narrow"/>
            </a:rPr>
            <a:t>Input Sheet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rgbClr val="003300"/>
              </a:solidFill>
              <a:latin typeface="Arial Narrow"/>
            </a:rPr>
            <a:t>Parts Database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7620</xdr:colOff>
      <xdr:row>1</xdr:row>
      <xdr:rowOff>7620</xdr:rowOff>
    </xdr:to>
    <xdr:pic>
      <xdr:nvPicPr>
        <xdr:cNvPr id="3091" name="Picture 1" descr="c">
          <a:extLst>
            <a:ext uri="{FF2B5EF4-FFF2-40B4-BE49-F238E27FC236}">
              <a16:creationId xmlns:a16="http://schemas.microsoft.com/office/drawing/2014/main" id="{00000000-0008-0000-0200-000013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81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3</xdr:col>
      <xdr:colOff>7620</xdr:colOff>
      <xdr:row>1</xdr:row>
      <xdr:rowOff>7620</xdr:rowOff>
    </xdr:to>
    <xdr:pic>
      <xdr:nvPicPr>
        <xdr:cNvPr id="3092" name="Picture 2" descr="c">
          <a:extLst>
            <a:ext uri="{FF2B5EF4-FFF2-40B4-BE49-F238E27FC236}">
              <a16:creationId xmlns:a16="http://schemas.microsoft.com/office/drawing/2014/main" id="{00000000-0008-0000-0200-000014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2600" y="1981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contexturesblog.com/" TargetMode="External"/><Relationship Id="rId2" Type="http://schemas.openxmlformats.org/officeDocument/2006/relationships/hyperlink" Target="https://www.pivot-table.com/" TargetMode="External"/><Relationship Id="rId1" Type="http://schemas.openxmlformats.org/officeDocument/2006/relationships/hyperlink" Target="https://www.contextures.com/tiptech.html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www.contextures.com/ctxrmd" TargetMode="External"/><Relationship Id="rId4" Type="http://schemas.openxmlformats.org/officeDocument/2006/relationships/hyperlink" Target="https://www.contextures.com/excelnewslettersignup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PartsDataEntry">
    <pageSetUpPr autoPageBreaks="0"/>
  </sheetPr>
  <dimension ref="B2:J18"/>
  <sheetViews>
    <sheetView showGridLines="0" tabSelected="1" zoomScaleNormal="100" workbookViewId="0">
      <selection activeCell="D5" sqref="D5"/>
    </sheetView>
  </sheetViews>
  <sheetFormatPr defaultColWidth="9.140625" defaultRowHeight="15.75" x14ac:dyDescent="0.25"/>
  <cols>
    <col min="1" max="1" width="1.28515625" style="5" customWidth="1"/>
    <col min="2" max="2" width="9.140625" style="5"/>
    <col min="3" max="3" width="1.5703125" style="5" customWidth="1"/>
    <col min="4" max="4" width="19.5703125" style="5" customWidth="1"/>
    <col min="5" max="7" width="1.28515625" style="5" customWidth="1"/>
    <col min="8" max="8" width="9.140625" style="5"/>
    <col min="9" max="9" width="3.140625" style="5" bestFit="1" customWidth="1"/>
    <col min="10" max="16384" width="9.140625" style="5"/>
  </cols>
  <sheetData>
    <row r="2" spans="2:10" ht="7.5" customHeight="1" x14ac:dyDescent="0.25"/>
    <row r="3" spans="2:10" ht="20.25" x14ac:dyDescent="0.3">
      <c r="B3" s="31" t="s">
        <v>16</v>
      </c>
    </row>
    <row r="5" spans="2:10" x14ac:dyDescent="0.25">
      <c r="B5" s="28" t="s">
        <v>18</v>
      </c>
      <c r="D5" s="11" t="s">
        <v>7</v>
      </c>
      <c r="H5" s="15"/>
      <c r="I5" s="24" t="s">
        <v>24</v>
      </c>
      <c r="J5" s="16"/>
    </row>
    <row r="6" spans="2:10" ht="6.75" customHeight="1" x14ac:dyDescent="0.25">
      <c r="B6" s="29"/>
      <c r="D6" s="6"/>
      <c r="H6" s="17"/>
      <c r="I6" s="18"/>
      <c r="J6" s="19"/>
    </row>
    <row r="7" spans="2:10" x14ac:dyDescent="0.25">
      <c r="B7" s="28" t="s">
        <v>0</v>
      </c>
      <c r="D7" s="11" t="s">
        <v>13</v>
      </c>
      <c r="H7" s="27">
        <v>5</v>
      </c>
      <c r="I7" s="23" t="s">
        <v>23</v>
      </c>
      <c r="J7" s="25">
        <f>COUNTA(PartsData!A:A)-1</f>
        <v>5</v>
      </c>
    </row>
    <row r="8" spans="2:10" ht="6.75" customHeight="1" x14ac:dyDescent="0.25">
      <c r="B8" s="30"/>
      <c r="D8" s="7"/>
      <c r="H8" s="26"/>
      <c r="I8" s="18"/>
      <c r="J8" s="19"/>
    </row>
    <row r="9" spans="2:10" x14ac:dyDescent="0.25">
      <c r="B9" s="28" t="s">
        <v>1</v>
      </c>
      <c r="D9" s="12">
        <v>250</v>
      </c>
      <c r="H9" s="26"/>
      <c r="I9" s="18"/>
      <c r="J9" s="19"/>
    </row>
    <row r="10" spans="2:10" ht="6.75" customHeight="1" x14ac:dyDescent="0.25">
      <c r="B10" s="28"/>
      <c r="D10" s="8"/>
      <c r="H10" s="20"/>
      <c r="I10" s="21"/>
      <c r="J10" s="22"/>
    </row>
    <row r="11" spans="2:10" x14ac:dyDescent="0.25">
      <c r="B11" s="28" t="s">
        <v>19</v>
      </c>
      <c r="D11" s="10">
        <f ca="1">IF(D5="","",VLOOKUP(D5,PartLU,2,0))</f>
        <v>5</v>
      </c>
    </row>
    <row r="12" spans="2:10" ht="6.75" customHeight="1" x14ac:dyDescent="0.25">
      <c r="B12" s="28"/>
      <c r="D12" s="9"/>
    </row>
    <row r="13" spans="2:10" x14ac:dyDescent="0.25">
      <c r="B13" s="28" t="s">
        <v>20</v>
      </c>
      <c r="D13" s="10">
        <f ca="1">IF(D5="","",D9*D11)</f>
        <v>1250</v>
      </c>
    </row>
    <row r="16" spans="2:10" ht="6.75" customHeight="1" x14ac:dyDescent="0.25"/>
    <row r="18" ht="4.5" customHeight="1" x14ac:dyDescent="0.25"/>
  </sheetData>
  <phoneticPr fontId="3" type="noConversion"/>
  <dataValidations count="4">
    <dataValidation type="whole" allowBlank="1" showInputMessage="1" showErrorMessage="1" sqref="D9" xr:uid="{00000000-0002-0000-0000-000000000000}">
      <formula1>-50000</formula1>
      <formula2>50000</formula2>
    </dataValidation>
    <dataValidation type="list" allowBlank="1" showInputMessage="1" showErrorMessage="1" sqref="D7:D8" xr:uid="{00000000-0002-0000-0000-000001000000}">
      <formula1>LocationList</formula1>
    </dataValidation>
    <dataValidation type="list" allowBlank="1" showInputMessage="1" showErrorMessage="1" sqref="D5" xr:uid="{00000000-0002-0000-0000-000002000000}">
      <formula1>PartList</formula1>
    </dataValidation>
    <dataValidation type="whole" allowBlank="1" showInputMessage="1" showErrorMessage="1" error="Enter a number between 1 and the total number of records." sqref="H7" xr:uid="{00000000-0002-0000-0000-000003000000}">
      <formula1>1</formula1>
      <formula2>J7</formula2>
    </dataValidation>
  </dataValidations>
  <pageMargins left="0.75" right="0.75" top="1" bottom="1" header="0.5" footer="0.5"/>
  <pageSetup orientation="portrait" r:id="rId1"/>
  <headerFooter alignWithMargins="0">
    <oddFooter>&amp;LDeveloped by Contextures Inc.&amp;Cwww.contextures.com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UpdateLogWorksheet">
                <anchor mov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3</xdr:col>
                    <xdr:colOff>1314450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GoInventory">
                <anchor moveWithCells="1">
                  <from>
                    <xdr:col>7</xdr:col>
                    <xdr:colOff>209550</xdr:colOff>
                    <xdr:row>10</xdr:row>
                    <xdr:rowOff>123825</xdr:rowOff>
                  </from>
                  <to>
                    <xdr:col>9</xdr:col>
                    <xdr:colOff>533400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6" name="Button 17">
              <controlPr defaultSize="0" print="0" autoFill="0" autoPict="0" macro="[0]!ViewLogUp">
                <anchor moveWithCells="1">
                  <from>
                    <xdr:col>7</xdr:col>
                    <xdr:colOff>428625</xdr:colOff>
                    <xdr:row>8</xdr:row>
                    <xdr:rowOff>9525</xdr:rowOff>
                  </from>
                  <to>
                    <xdr:col>8</xdr:col>
                    <xdr:colOff>57150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" name="Button 18">
              <controlPr defaultSize="0" print="0" autoFill="0" autoPict="0" macro="[0]!ViewLogDown">
                <anchor moveWithCells="1"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9</xdr:col>
                    <xdr:colOff>247650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ViewLogFirst">
                <anchor moveWithCells="1">
                  <from>
                    <xdr:col>7</xdr:col>
                    <xdr:colOff>133350</xdr:colOff>
                    <xdr:row>8</xdr:row>
                    <xdr:rowOff>9525</xdr:rowOff>
                  </from>
                  <to>
                    <xdr:col>7</xdr:col>
                    <xdr:colOff>381000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9" name="Button 24">
              <controlPr defaultSize="0" print="0" autoFill="0" autoPict="0" macro="[0]!ViewLogLast">
                <anchor moveWithCells="1">
                  <from>
                    <xdr:col>9</xdr:col>
                    <xdr:colOff>304800</xdr:colOff>
                    <xdr:row>8</xdr:row>
                    <xdr:rowOff>9525</xdr:rowOff>
                  </from>
                  <to>
                    <xdr:col>9</xdr:col>
                    <xdr:colOff>552450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ksPartsData"/>
  <dimension ref="A1:G6"/>
  <sheetViews>
    <sheetView showGridLines="0" workbookViewId="0">
      <pane ySplit="1" topLeftCell="A2" activePane="bottomLeft" state="frozen"/>
      <selection activeCell="D19" sqref="D19"/>
      <selection pane="bottomLeft" activeCell="D19" sqref="D19"/>
    </sheetView>
  </sheetViews>
  <sheetFormatPr defaultRowHeight="15.75" x14ac:dyDescent="0.25"/>
  <cols>
    <col min="1" max="1" width="20.85546875" customWidth="1"/>
    <col min="2" max="2" width="14.7109375" bestFit="1" customWidth="1"/>
    <col min="3" max="4" width="10.7109375" bestFit="1" customWidth="1"/>
    <col min="6" max="6" width="11.85546875" customWidth="1"/>
    <col min="7" max="7" width="12.28515625" customWidth="1"/>
  </cols>
  <sheetData>
    <row r="1" spans="1:7" s="1" customFormat="1" ht="43.5" customHeight="1" x14ac:dyDescent="0.25">
      <c r="A1" s="2" t="s">
        <v>21</v>
      </c>
      <c r="B1" s="2" t="s">
        <v>17</v>
      </c>
      <c r="C1" s="4" t="s">
        <v>15</v>
      </c>
      <c r="D1" s="2" t="s">
        <v>0</v>
      </c>
      <c r="E1" s="2" t="s">
        <v>1</v>
      </c>
      <c r="F1" s="4" t="s">
        <v>19</v>
      </c>
      <c r="G1" s="4" t="s">
        <v>20</v>
      </c>
    </row>
    <row r="2" spans="1:7" x14ac:dyDescent="0.25">
      <c r="A2" s="13">
        <v>44659.692696759259</v>
      </c>
      <c r="B2" t="s">
        <v>22</v>
      </c>
      <c r="C2" t="s">
        <v>5</v>
      </c>
      <c r="D2" t="s">
        <v>12</v>
      </c>
      <c r="E2">
        <v>500</v>
      </c>
      <c r="F2" s="14">
        <v>1</v>
      </c>
      <c r="G2" s="14">
        <v>500</v>
      </c>
    </row>
    <row r="3" spans="1:7" x14ac:dyDescent="0.25">
      <c r="A3" s="13">
        <v>44659.692800925928</v>
      </c>
      <c r="B3" t="s">
        <v>22</v>
      </c>
      <c r="C3" t="s">
        <v>7</v>
      </c>
      <c r="D3" t="s">
        <v>13</v>
      </c>
      <c r="E3">
        <v>250</v>
      </c>
      <c r="F3" s="14">
        <v>5</v>
      </c>
      <c r="G3" s="14">
        <v>1250</v>
      </c>
    </row>
    <row r="4" spans="1:7" x14ac:dyDescent="0.25">
      <c r="A4" s="13">
        <v>44659.692986111113</v>
      </c>
      <c r="B4" t="s">
        <v>22</v>
      </c>
      <c r="C4" t="s">
        <v>9</v>
      </c>
      <c r="D4" t="s">
        <v>11</v>
      </c>
      <c r="E4">
        <v>50</v>
      </c>
      <c r="F4" s="14">
        <v>12</v>
      </c>
      <c r="G4" s="14">
        <v>600</v>
      </c>
    </row>
    <row r="5" spans="1:7" x14ac:dyDescent="0.25">
      <c r="A5" s="13">
        <v>44659.76289351852</v>
      </c>
      <c r="B5" t="s">
        <v>22</v>
      </c>
      <c r="C5" t="s">
        <v>5</v>
      </c>
      <c r="D5" t="s">
        <v>12</v>
      </c>
      <c r="E5">
        <v>500</v>
      </c>
      <c r="F5" s="14">
        <v>1</v>
      </c>
      <c r="G5" s="14">
        <v>500</v>
      </c>
    </row>
    <row r="6" spans="1:7" x14ac:dyDescent="0.25">
      <c r="A6" s="13">
        <v>44659.762986111113</v>
      </c>
      <c r="B6" t="s">
        <v>22</v>
      </c>
      <c r="C6" t="s">
        <v>7</v>
      </c>
      <c r="D6" t="s">
        <v>13</v>
      </c>
      <c r="E6">
        <v>250</v>
      </c>
      <c r="F6" s="14">
        <v>5</v>
      </c>
      <c r="G6" s="14">
        <v>1250</v>
      </c>
    </row>
  </sheetData>
  <phoneticPr fontId="3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sLookupLists"/>
  <dimension ref="A1:D10"/>
  <sheetViews>
    <sheetView showGridLines="0" workbookViewId="0">
      <selection activeCell="D19" sqref="D19"/>
    </sheetView>
  </sheetViews>
  <sheetFormatPr defaultRowHeight="15.75" x14ac:dyDescent="0.25"/>
  <cols>
    <col min="1" max="1" width="11" bestFit="1" customWidth="1"/>
    <col min="2" max="2" width="8.7109375" customWidth="1"/>
    <col min="3" max="3" width="5.85546875" customWidth="1"/>
    <col min="4" max="4" width="10.7109375" bestFit="1" customWidth="1"/>
  </cols>
  <sheetData>
    <row r="1" spans="1:4" s="1" customFormat="1" x14ac:dyDescent="0.25">
      <c r="A1" s="2" t="s">
        <v>2</v>
      </c>
      <c r="B1" s="2" t="s">
        <v>19</v>
      </c>
      <c r="D1" s="2" t="s">
        <v>0</v>
      </c>
    </row>
    <row r="2" spans="1:4" x14ac:dyDescent="0.25">
      <c r="A2" t="s">
        <v>4</v>
      </c>
      <c r="B2">
        <v>75</v>
      </c>
      <c r="D2" t="s">
        <v>11</v>
      </c>
    </row>
    <row r="3" spans="1:4" x14ac:dyDescent="0.25">
      <c r="A3" t="s">
        <v>5</v>
      </c>
      <c r="B3">
        <v>1</v>
      </c>
      <c r="D3" t="s">
        <v>12</v>
      </c>
    </row>
    <row r="4" spans="1:4" x14ac:dyDescent="0.25">
      <c r="A4" t="s">
        <v>6</v>
      </c>
      <c r="B4">
        <v>15</v>
      </c>
      <c r="D4" t="s">
        <v>13</v>
      </c>
    </row>
    <row r="5" spans="1:4" x14ac:dyDescent="0.25">
      <c r="A5" t="s">
        <v>7</v>
      </c>
      <c r="B5">
        <v>5</v>
      </c>
      <c r="D5" t="s">
        <v>14</v>
      </c>
    </row>
    <row r="6" spans="1:4" x14ac:dyDescent="0.25">
      <c r="A6" t="s">
        <v>8</v>
      </c>
      <c r="B6">
        <v>7</v>
      </c>
    </row>
    <row r="7" spans="1:4" x14ac:dyDescent="0.25">
      <c r="A7" t="s">
        <v>9</v>
      </c>
      <c r="B7">
        <v>12</v>
      </c>
    </row>
    <row r="8" spans="1:4" x14ac:dyDescent="0.25">
      <c r="A8" t="s">
        <v>10</v>
      </c>
      <c r="B8">
        <v>4</v>
      </c>
    </row>
    <row r="9" spans="1:4" x14ac:dyDescent="0.25">
      <c r="A9" t="s">
        <v>3</v>
      </c>
      <c r="B9">
        <v>3</v>
      </c>
    </row>
    <row r="10" spans="1:4" x14ac:dyDescent="0.25">
      <c r="A10" s="3"/>
    </row>
  </sheetData>
  <phoneticPr fontId="3" type="noConversion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7983D-B360-4D73-83BA-FCC464F49A71}">
  <sheetPr codeName="Sheet16"/>
  <dimension ref="B2:C9"/>
  <sheetViews>
    <sheetView showGridLines="0" workbookViewId="0">
      <selection activeCell="A3" sqref="A3"/>
    </sheetView>
  </sheetViews>
  <sheetFormatPr defaultColWidth="8.85546875" defaultRowHeight="15" x14ac:dyDescent="0.25"/>
  <cols>
    <col min="1" max="1" width="3" style="35" customWidth="1"/>
    <col min="2" max="2" width="32.85546875" style="37" customWidth="1"/>
    <col min="3" max="3" width="64" style="35" customWidth="1"/>
    <col min="4" max="16384" width="8.85546875" style="35"/>
  </cols>
  <sheetData>
    <row r="2" spans="2:3" ht="18.75" x14ac:dyDescent="0.3">
      <c r="B2" s="34" t="s">
        <v>29</v>
      </c>
    </row>
    <row r="3" spans="2:3" x14ac:dyDescent="0.25">
      <c r="B3" s="32" t="s">
        <v>25</v>
      </c>
      <c r="C3" s="35" t="s">
        <v>31</v>
      </c>
    </row>
    <row r="4" spans="2:3" x14ac:dyDescent="0.25">
      <c r="B4" s="32" t="s">
        <v>26</v>
      </c>
      <c r="C4" s="35" t="s">
        <v>34</v>
      </c>
    </row>
    <row r="5" spans="2:3" x14ac:dyDescent="0.25">
      <c r="B5" s="32" t="s">
        <v>27</v>
      </c>
      <c r="C5" s="35" t="s">
        <v>32</v>
      </c>
    </row>
    <row r="6" spans="2:3" x14ac:dyDescent="0.25">
      <c r="B6" s="32" t="s">
        <v>30</v>
      </c>
      <c r="C6" s="35" t="s">
        <v>33</v>
      </c>
    </row>
    <row r="7" spans="2:3" x14ac:dyDescent="0.25">
      <c r="B7" s="36"/>
    </row>
    <row r="8" spans="2:3" ht="18.75" x14ac:dyDescent="0.3">
      <c r="B8" s="34" t="s">
        <v>35</v>
      </c>
    </row>
    <row r="9" spans="2:3" x14ac:dyDescent="0.25">
      <c r="B9" s="33" t="s">
        <v>28</v>
      </c>
      <c r="C9" s="35" t="s">
        <v>36</v>
      </c>
    </row>
  </sheetData>
  <hyperlinks>
    <hyperlink ref="B3" r:id="rId1" xr:uid="{F8A6B703-51F6-408B-B608-B6E081E69567}"/>
    <hyperlink ref="B5" r:id="rId2" xr:uid="{4CEB4D86-E1E0-4E10-956C-E8284AF1C866}"/>
    <hyperlink ref="B4" r:id="rId3" xr:uid="{FEF3A9CC-C51B-4A38-945A-DC6A514920BC}"/>
    <hyperlink ref="B6" r:id="rId4" xr:uid="{98A6DF3E-FAA5-4611-BC6A-3014E301B1F0}"/>
    <hyperlink ref="B9" r:id="rId5" tooltip="Contextures Recommends" xr:uid="{AB31EA4B-1DAE-40A1-AAF7-FDD6F80CB069}"/>
  </hyperlinks>
  <pageMargins left="0.75" right="0.75" top="1" bottom="1" header="0.5" footer="0.5"/>
  <pageSetup orientation="portrait" r:id="rId6"/>
  <headerFooter alignWithMargins="0">
    <oddFooter>&amp;Lwww.contextures.com&amp;R&amp;D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Input</vt:lpstr>
      <vt:lpstr>PartsData</vt:lpstr>
      <vt:lpstr>LookupLists</vt:lpstr>
      <vt:lpstr>MyLinks</vt:lpstr>
      <vt:lpstr>CurrRec</vt:lpstr>
    </vt:vector>
  </TitlesOfParts>
  <Company>Contextures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2006-09-23T00:32:50Z</cp:lastPrinted>
  <dcterms:created xsi:type="dcterms:W3CDTF">2003-08-10T01:51:48Z</dcterms:created>
  <dcterms:modified xsi:type="dcterms:W3CDTF">2022-01-05T16:33:48Z</dcterms:modified>
</cp:coreProperties>
</file>